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bernard/Downloads/"/>
    </mc:Choice>
  </mc:AlternateContent>
  <xr:revisionPtr revIDLastSave="0" documentId="8_{0137AC98-79AA-8C46-BFE3-7FDBDDB66D8C}" xr6:coauthVersionLast="47" xr6:coauthVersionMax="47" xr10:uidLastSave="{00000000-0000-0000-0000-000000000000}"/>
  <bookViews>
    <workbookView xWindow="0" yWindow="660" windowWidth="29400" windowHeight="18460" xr2:uid="{71244CAE-B5D0-524E-B0EA-9BB82800A53F}"/>
  </bookViews>
  <sheets>
    <sheet name="Student Data" sheetId="1" r:id="rId1"/>
    <sheet name="Findings" sheetId="4" r:id="rId2"/>
  </sheets>
  <calcPr calcId="181029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</calcChain>
</file>

<file path=xl/sharedStrings.xml><?xml version="1.0" encoding="utf-8"?>
<sst xmlns="http://schemas.openxmlformats.org/spreadsheetml/2006/main" count="142" uniqueCount="57">
  <si>
    <t>student_id</t>
  </si>
  <si>
    <t>grade_level</t>
  </si>
  <si>
    <t>intervention</t>
  </si>
  <si>
    <t>intervention_type</t>
  </si>
  <si>
    <t>fall_reading_level</t>
  </si>
  <si>
    <t>spring_reading_level</t>
  </si>
  <si>
    <t>attendance_rate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</si>
  <si>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</si>
  <si>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</si>
  <si>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</si>
  <si>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</si>
  <si>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</si>
  <si>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</si>
  <si>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</si>
  <si>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</si>
  <si>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</si>
  <si>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</si>
  <si>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</si>
  <si>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</si>
  <si>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</si>
  <si>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</si>
  <si>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</si>
  <si>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</si>
  <si>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</si>
  <si>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</si>
  <si>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</si>
  <si>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</si>
  <si>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</si>
  <si>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</si>
  <si>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</si>
  <si>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</si>
  <si>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</si>
  <si>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</si>
  <si>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</si>
  <si>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</si>
  <si>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</si>
  <si>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</si>
  <si>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</si>
  <si>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</si>
  <si>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</si>
  <si>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</si>
  <si>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</si>
  <si>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</si>
  <si>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</si>
  <si>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</si>
  <si>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</si>
  <si>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</si>
  <si>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Yes</t>
  </si>
  <si>
    <t>Small Group</t>
  </si>
  <si>
    <t>None</t>
  </si>
  <si>
    <t>One-on-One</t>
  </si>
  <si>
    <t>No</t>
  </si>
  <si>
    <t>reading_growth</t>
  </si>
  <si>
    <t>Row Labels</t>
  </si>
  <si>
    <t>Grand Total</t>
  </si>
  <si>
    <t>Intervention</t>
  </si>
  <si>
    <t>Average of reading_growth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</si>
</sst>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1" fontId="0" fillId="0" borderId="0" xfId="0" applyNumberFormat="1"/>
    <xf numFmtId="10" fontId="0" fillId="0" borderId="0" xfId="0" applyNumberFormat="1"/>
    <xf numFmtId="9" fontId="2" fillId="0" borderId="0" xfId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/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692038495188095E-2"/>
          <c:y val="0.15780110819480897"/>
          <c:w val="0.88713429571303593"/>
          <c:h val="0.721280985710119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'Student Data'!$H$1</c:f>
              <c:strCache>
                <c:ptCount val="1"/>
                <c:pt idx="0">
                  <c:v>reading_growth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'Student Data'!$G$2:$G$41</c:f>
              <c:numCache>
                <c:formatCode>0%</c:formatCode>
                <c:ptCount val="40"/>
                <c:pt idx="0">
                  <c:v>0.98</c:v>
                </c:pt>
                <c:pt idx="1">
                  <c:v>0.96</c:v>
                </c:pt>
                <c:pt idx="2">
                  <c:v>0.98</c:v>
                </c:pt>
                <c:pt idx="3">
                  <c:v>0.96</c:v>
                </c:pt>
                <c:pt idx="4">
                  <c:v>0.95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0.96</c:v>
                </c:pt>
                <c:pt idx="9">
                  <c:v>0.97</c:v>
                </c:pt>
                <c:pt idx="10">
                  <c:v>0.98</c:v>
                </c:pt>
                <c:pt idx="11">
                  <c:v>0.96</c:v>
                </c:pt>
                <c:pt idx="12">
                  <c:v>0.98</c:v>
                </c:pt>
                <c:pt idx="13">
                  <c:v>0.96</c:v>
                </c:pt>
                <c:pt idx="14">
                  <c:v>0.97</c:v>
                </c:pt>
                <c:pt idx="15">
                  <c:v>0.96</c:v>
                </c:pt>
                <c:pt idx="16">
                  <c:v>0.95</c:v>
                </c:pt>
                <c:pt idx="17">
                  <c:v>0.98</c:v>
                </c:pt>
                <c:pt idx="18">
                  <c:v>0.97</c:v>
                </c:pt>
                <c:pt idx="19">
                  <c:v>0.96</c:v>
                </c:pt>
                <c:pt idx="20">
                  <c:v>0.98</c:v>
                </c:pt>
                <c:pt idx="21">
                  <c:v>0.97</c:v>
                </c:pt>
                <c:pt idx="22">
                  <c:v>1</c:v>
                </c:pt>
                <c:pt idx="23">
                  <c:v>1</c:v>
                </c:pt>
                <c:pt idx="24">
                  <c:v>0.97</c:v>
                </c:pt>
                <c:pt idx="25">
                  <c:v>0.96</c:v>
                </c:pt>
                <c:pt idx="26">
                  <c:v>0.88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0.99</c:v>
                </c:pt>
                <c:pt idx="31">
                  <c:v>0.98</c:v>
                </c:pt>
                <c:pt idx="32">
                  <c:v>0.89</c:v>
                </c:pt>
                <c:pt idx="33">
                  <c:v>0.98</c:v>
                </c:pt>
                <c:pt idx="34">
                  <c:v>0.96</c:v>
                </c:pt>
                <c:pt idx="35">
                  <c:v>0.95</c:v>
                </c:pt>
                <c:pt idx="36">
                  <c:v>0.94</c:v>
                </c:pt>
                <c:pt idx="37">
                  <c:v>0.96</c:v>
                </c:pt>
                <c:pt idx="38">
                  <c:v>0.94</c:v>
                </c:pt>
                <c:pt idx="39">
                  <c:v>0.96</c:v>
                </c:pt>
              </c:numCache>
            </c:numRef>
          </c:xVal>
          <c:yVal>
            <c:numRef>
              <c:f>'Student Data'!$H$2:$H$41</c:f>
              <c:numCache>
                <c:formatCode>0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8B-2047-9132-6B3C2AFCB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127551"/>
        <c:axId val="446134271"/>
      </c:scatterChart>
      <c:valAx>
        <c:axId val="44612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34271"/>
        <c:crosses val="autoZero"/>
        <c:crossBetween val="midCat"/>
      </c:valAx>
      <c:valAx>
        <c:axId val="44613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2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[reading_intervention_dataset.xlsx]Findings!PivotTable7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Reading Growth by Intervention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Findings!$B$7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Findings!$A$8:$A$10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Findings!$B$8:$B$10</c:f>
              <c:numCache>
                <c:formatCode>General</c:formatCode>
                <c:ptCount val="2"/>
                <c:pt idx="0">
                  <c:v>0.94736842105263153</c:v>
                </c:pt>
                <c:pt idx="1">
                  <c:v>1.6190476190476191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1-9543-B20F-BBF063348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640255"/>
        <c:axId val="433648767"/>
      </c:barChart>
      <c:catAx>
        <c:axId val="43364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48767"/>
        <c:crosses val="autoZero"/>
        <c:auto val="1"/>
        <c:lblAlgn val="ctr"/>
        <c:lblOffset val="100"/>
        <c:noMultiLvlLbl val="0"/>
      </c:catAx>
      <c:valAx>
        <c:axId val="43364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Reading</a:t>
                </a:r>
                <a:r>
                  <a:rPr lang="en-US" baseline="0"/>
                  <a:t> Level Growth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4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Reading Growth by Grade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1.5333333333333334</c:v>
              </c:pt>
              <c:pt idx="1">
                <c:v>1.2666666666666666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C48-2E4C-A573-7F5269BCC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932415"/>
        <c:axId val="617924351"/>
      </c:barChart>
      <c:catAx>
        <c:axId val="61793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24351"/>
        <c:crosses val="autoZero"/>
        <c:auto val="1"/>
        <c:lblAlgn val="ctr"/>
        <c:lblOffset val="100"/>
        <c:noMultiLvlLbl val="0"/>
      </c:catAx>
      <c:valAx>
        <c:axId val="61792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Reading</a:t>
                </a:r>
                <a:r>
                  <a:rPr lang="en-US" baseline="0"/>
                  <a:t> Level Growth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3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[reading_intervention_dataset.xlsx]Findings!PivotTable9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Reading Growth</a:t>
            </a:r>
            <a:r>
              <a:rPr lang="en-US" baseline="0"/>
              <a:t> by Grade Level and Intervention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Findings!$B$22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Findings!$A$23:$A$32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</c:lvl>
              </c:multiLvlStrCache>
            </c:multiLvlStrRef>
          </c:cat>
          <c:val>
            <c:numRef>
              <c:f>Findings!$B$23:$B$32</c:f>
              <c:numCache>
                <c:formatCode>General</c:formatCode>
                <c:ptCount val="6"/>
                <c:pt idx="0">
                  <c:v>1.4</c:v>
                </c:pt>
                <c:pt idx="1">
                  <c:v>1.6</c:v>
                </c:pt>
                <c:pt idx="2">
                  <c:v>0.8571428571428571</c:v>
                </c:pt>
                <c:pt idx="3">
                  <c:v>1.625</c:v>
                </c:pt>
                <c:pt idx="4">
                  <c:v>0.7142857142857143</c:v>
                </c:pt>
                <c:pt idx="5">
                  <c:v>1.6666666666666667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E-0744-B171-2B5E1085E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284351"/>
        <c:axId val="618289727"/>
      </c:barChart>
      <c:catAx>
        <c:axId val="61828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89727"/>
        <c:crosses val="autoZero"/>
        <c:auto val="1"/>
        <c:lblAlgn val="ctr"/>
        <c:lblOffset val="100"/>
        <c:noMultiLvlLbl val="0"/>
      </c:catAx>
      <c:valAx>
        <c:axId val="61828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8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 Data'!$H$1</c:f>
              <c:strCache>
                <c:ptCount val="1"/>
                <c:pt idx="0">
                  <c:v>reading_growth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'Student Data'!$G$2:$G$41</c:f>
              <c:numCache>
                <c:formatCode>0%</c:formatCode>
                <c:ptCount val="40"/>
                <c:pt idx="0">
                  <c:v>0.98</c:v>
                </c:pt>
                <c:pt idx="1">
                  <c:v>0.96</c:v>
                </c:pt>
                <c:pt idx="2">
                  <c:v>0.98</c:v>
                </c:pt>
                <c:pt idx="3">
                  <c:v>0.96</c:v>
                </c:pt>
                <c:pt idx="4">
                  <c:v>0.95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0.96</c:v>
                </c:pt>
                <c:pt idx="9">
                  <c:v>0.97</c:v>
                </c:pt>
                <c:pt idx="10">
                  <c:v>0.98</c:v>
                </c:pt>
                <c:pt idx="11">
                  <c:v>0.96</c:v>
                </c:pt>
                <c:pt idx="12">
                  <c:v>0.98</c:v>
                </c:pt>
                <c:pt idx="13">
                  <c:v>0.96</c:v>
                </c:pt>
                <c:pt idx="14">
                  <c:v>0.97</c:v>
                </c:pt>
                <c:pt idx="15">
                  <c:v>0.96</c:v>
                </c:pt>
                <c:pt idx="16">
                  <c:v>0.95</c:v>
                </c:pt>
                <c:pt idx="17">
                  <c:v>0.98</c:v>
                </c:pt>
                <c:pt idx="18">
                  <c:v>0.97</c:v>
                </c:pt>
                <c:pt idx="19">
                  <c:v>0.96</c:v>
                </c:pt>
                <c:pt idx="20">
                  <c:v>0.98</c:v>
                </c:pt>
                <c:pt idx="21">
                  <c:v>0.97</c:v>
                </c:pt>
                <c:pt idx="22">
                  <c:v>1</c:v>
                </c:pt>
                <c:pt idx="23">
                  <c:v>1</c:v>
                </c:pt>
                <c:pt idx="24">
                  <c:v>0.97</c:v>
                </c:pt>
                <c:pt idx="25">
                  <c:v>0.96</c:v>
                </c:pt>
                <c:pt idx="26">
                  <c:v>0.88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0.99</c:v>
                </c:pt>
                <c:pt idx="31">
                  <c:v>0.98</c:v>
                </c:pt>
                <c:pt idx="32">
                  <c:v>0.89</c:v>
                </c:pt>
                <c:pt idx="33">
                  <c:v>0.98</c:v>
                </c:pt>
                <c:pt idx="34">
                  <c:v>0.96</c:v>
                </c:pt>
                <c:pt idx="35">
                  <c:v>0.95</c:v>
                </c:pt>
                <c:pt idx="36">
                  <c:v>0.94</c:v>
                </c:pt>
                <c:pt idx="37">
                  <c:v>0.96</c:v>
                </c:pt>
                <c:pt idx="38">
                  <c:v>0.94</c:v>
                </c:pt>
                <c:pt idx="39">
                  <c:v>0.96</c:v>
                </c:pt>
              </c:numCache>
            </c:numRef>
          </c:xVal>
          <c:yVal>
            <c:numRef>
              <c:f>'Student Data'!$H$2:$H$41</c:f>
              <c:numCache>
                <c:formatCode>0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6-9948-99E2-349BFB12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127551"/>
        <c:axId val="446134271"/>
      </c:scatterChart>
      <c:valAx>
        <c:axId val="44612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34271"/>
        <c:crosses val="autoZero"/>
        <c:crossBetween val="midCat"/>
      </c:valAx>
      <c:valAx>
        <c:axId val="44613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2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2</xdr:row>
      <xdr:rowOff>63500</xdr:rowOff>
    </xdr:from>
    <xdr:to>
      <xdr:col>13</xdr:col>
      <xdr:colOff>730250</xdr:colOff>
      <xdr:row>15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5A97E0-16DA-4F48-597B-DCD367514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7</xdr:col>
      <xdr:colOff>444500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78B3B-DA5C-A6A5-309B-01B947105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355600</xdr:colOff>
      <xdr:row>18</xdr:row>
      <xdr:rowOff>114300</xdr:rowOff>
    </xdr:from>
    <xdr:to>
      <xdr:col>7</xdr:col>
      <xdr:colOff>800100</xdr:colOff>
      <xdr:row>32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22F384-2CF2-EB4E-957F-7F1CC276D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342900</xdr:colOff>
      <xdr:row>18</xdr:row>
      <xdr:rowOff>63500</xdr:rowOff>
    </xdr:from>
    <xdr:to>
      <xdr:col>14</xdr:col>
      <xdr:colOff>236220</xdr:colOff>
      <xdr:row>32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FB9336-AD8F-A248-521B-721392DE2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38100</xdr:colOff>
      <xdr:row>36</xdr:row>
      <xdr:rowOff>165100</xdr:rowOff>
    </xdr:from>
    <xdr:to>
      <xdr:col>8</xdr:col>
      <xdr:colOff>482600</xdr:colOff>
      <xdr:row>50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1483E2-B266-D942-B01E-E9877210F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393700</xdr:colOff>
      <xdr:row>39</xdr:row>
      <xdr:rowOff>190500</xdr:rowOff>
    </xdr:from>
    <xdr:to>
      <xdr:col>2</xdr:col>
      <xdr:colOff>1130300</xdr:colOff>
      <xdr:row>48</xdr:row>
      <xdr:rowOff>139700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C01162-C214-3B7C-D255-57DAF64C2D39}"/>
            </a:ext>
          </a:extLst>
        </xdr:cNvPr>
        <xdr:cNvSpPr txBox="1"/>
      </xdr:nvSpPr>
      <xdr:spPr>
        <a:xfrm>
          <a:off x="393700" y="8115300"/>
          <a:ext cx="349250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800" b="0" i="0" u="none" strike="noStrike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Students with higher attendance rates generally demonstrated greater reading growth, suggesting consistent attendance may play an important role in literacy development.</a:t>
          </a:r>
          <a:endParaRPr lang="en-US" sz="1800" b="0">
            <a:effectLst/>
            <a:latin typeface="+mj-lt"/>
          </a:endParaRPr>
        </a:p>
        <a:p>
          <a:br>
            <a:rPr lang="en-US"/>
          </a:b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yssa Bernard" refreshedDate="46055.488496527774" createdVersion="8" refreshedVersion="8" minRefreshableVersion="3" recordCount="40" xr:uid="{C22E9432-8AA4-6D44-824B-CDE07ADD0E49}">
  <cacheSource type="worksheet">
    <worksheetSource ref="A1:H41" sheet="Student Data"/>
  </cacheSource>
  <cacheFields count="8">
    <cacheField name="student_id" numFmtId="0">
      <sharedItems/>
    </cacheField>
    <cacheField name="grade_level" numFmtId="0">
      <sharedItems containsSemiMixedTypes="0" containsString="0" containsNumber="1" containsInteger="1" minValue="1" maxValue="3" count="3">
        <n v="1"/>
        <n v="2"/>
        <n v="3"/>
      </sharedItems>
    </cacheField>
    <cacheField name="intervention" numFmtId="0">
      <sharedItems count="2">
        <s v="Yes"/>
        <s v="No"/>
      </sharedItems>
    </cacheField>
    <cacheField name="intervention_type" numFmtId="0">
      <sharedItems/>
    </cacheField>
    <cacheField name="fall_reading_level" numFmtId="0">
      <sharedItems containsSemiMixedTypes="0" containsString="0" containsNumber="1" containsInteger="1" minValue="1" maxValue="9"/>
    </cacheField>
    <cacheField name="spring_reading_level" numFmtId="0">
      <sharedItems containsSemiMixedTypes="0" containsString="0" containsNumber="1" containsInteger="1" minValue="2" maxValue="10"/>
    </cacheField>
    <cacheField name="attendance_rate" numFmtId="0">
      <sharedItems/>
    </cacheField>
    <cacheField name="reading_growth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S001"/>
    <x v="0"/>
    <x v="0"/>
    <s v="Small Group"/>
    <n v="2"/>
    <n v="4"/>
    <s v="90-94%"/>
    <n v="2"/>
  </r>
  <r>
    <s v="S002"/>
    <x v="0"/>
    <x v="0"/>
    <s v="Small Group"/>
    <n v="2"/>
    <n v="4"/>
    <s v="95-99%"/>
    <n v="2"/>
  </r>
  <r>
    <s v="S003"/>
    <x v="0"/>
    <x v="0"/>
    <s v="One-on-One"/>
    <n v="1"/>
    <n v="2"/>
    <s v="90-94%"/>
    <n v="1"/>
  </r>
  <r>
    <s v="S004"/>
    <x v="0"/>
    <x v="0"/>
    <s v="Small Group"/>
    <n v="2"/>
    <n v="4"/>
    <s v="95-99%"/>
    <n v="2"/>
  </r>
  <r>
    <s v="S005"/>
    <x v="0"/>
    <x v="1"/>
    <s v="None"/>
    <n v="5"/>
    <n v="6"/>
    <s v="95-99%"/>
    <n v="1"/>
  </r>
  <r>
    <s v="S006"/>
    <x v="0"/>
    <x v="0"/>
    <s v="Small Group"/>
    <n v="2"/>
    <n v="3"/>
    <s v="95-99%"/>
    <n v="1"/>
  </r>
  <r>
    <s v="S007"/>
    <x v="0"/>
    <x v="1"/>
    <s v="None"/>
    <n v="5"/>
    <n v="6"/>
    <s v="90-94%"/>
    <n v="1"/>
  </r>
  <r>
    <s v="S008"/>
    <x v="0"/>
    <x v="0"/>
    <s v="One-on-One"/>
    <n v="1"/>
    <n v="3"/>
    <s v="95-99%"/>
    <n v="2"/>
  </r>
  <r>
    <s v="S009"/>
    <x v="0"/>
    <x v="1"/>
    <s v="None"/>
    <n v="3"/>
    <n v="5"/>
    <s v="95-99%"/>
    <n v="2"/>
  </r>
  <r>
    <s v="S010"/>
    <x v="0"/>
    <x v="0"/>
    <s v="Small Group"/>
    <n v="3"/>
    <n v="4"/>
    <s v="95-99%"/>
    <n v="1"/>
  </r>
  <r>
    <s v="S011"/>
    <x v="0"/>
    <x v="0"/>
    <s v="Small Group"/>
    <n v="2"/>
    <n v="3"/>
    <s v="85-89%"/>
    <n v="1"/>
  </r>
  <r>
    <s v="S012"/>
    <x v="0"/>
    <x v="1"/>
    <s v="None"/>
    <n v="5"/>
    <n v="7"/>
    <s v="90-94%"/>
    <n v="2"/>
  </r>
  <r>
    <s v="S013"/>
    <x v="0"/>
    <x v="0"/>
    <s v="One-on-One"/>
    <n v="1"/>
    <n v="3"/>
    <s v="95-99%"/>
    <n v="2"/>
  </r>
  <r>
    <s v="S014"/>
    <x v="0"/>
    <x v="1"/>
    <s v="None"/>
    <n v="5"/>
    <n v="6"/>
    <s v="90-94%"/>
    <n v="1"/>
  </r>
  <r>
    <s v="S015"/>
    <x v="0"/>
    <x v="0"/>
    <s v="Small Group"/>
    <n v="3"/>
    <n v="5"/>
    <s v="90-94%"/>
    <n v="2"/>
  </r>
  <r>
    <s v="S016"/>
    <x v="1"/>
    <x v="0"/>
    <s v="Small Group"/>
    <n v="3"/>
    <n v="5"/>
    <s v="95-99%"/>
    <n v="2"/>
  </r>
  <r>
    <s v="S017"/>
    <x v="1"/>
    <x v="1"/>
    <s v="None"/>
    <n v="6"/>
    <n v="6"/>
    <s v="90-94%"/>
    <n v="0"/>
  </r>
  <r>
    <s v="S018"/>
    <x v="1"/>
    <x v="1"/>
    <s v="None"/>
    <n v="7"/>
    <n v="8"/>
    <s v="95-99%"/>
    <n v="1"/>
  </r>
  <r>
    <s v="S019"/>
    <x v="1"/>
    <x v="0"/>
    <s v="Small Group"/>
    <n v="3"/>
    <n v="4"/>
    <s v="90-94%"/>
    <n v="1"/>
  </r>
  <r>
    <s v="S020"/>
    <x v="1"/>
    <x v="0"/>
    <s v="Small Group"/>
    <n v="3"/>
    <n v="5"/>
    <s v="95-99%"/>
    <n v="2"/>
  </r>
  <r>
    <s v="S021"/>
    <x v="1"/>
    <x v="1"/>
    <s v="None"/>
    <n v="7"/>
    <n v="8"/>
    <s v="95-99%"/>
    <n v="1"/>
  </r>
  <r>
    <s v="S022"/>
    <x v="1"/>
    <x v="0"/>
    <s v="One-on-One"/>
    <n v="2"/>
    <n v="4"/>
    <s v="95-99%"/>
    <n v="2"/>
  </r>
  <r>
    <s v="S023"/>
    <x v="1"/>
    <x v="1"/>
    <s v="None"/>
    <n v="8"/>
    <n v="9"/>
    <s v="90-94%"/>
    <n v="1"/>
  </r>
  <r>
    <s v="S024"/>
    <x v="1"/>
    <x v="0"/>
    <s v="Small Group"/>
    <n v="2"/>
    <n v="4"/>
    <s v="95-99%"/>
    <n v="2"/>
  </r>
  <r>
    <s v="S025"/>
    <x v="1"/>
    <x v="1"/>
    <s v="None"/>
    <n v="7"/>
    <n v="8"/>
    <s v="95-99%"/>
    <n v="1"/>
  </r>
  <r>
    <s v="S026"/>
    <x v="1"/>
    <x v="0"/>
    <s v="Small Group"/>
    <n v="4"/>
    <n v="6"/>
    <s v="90-94%"/>
    <n v="2"/>
  </r>
  <r>
    <s v="S027"/>
    <x v="1"/>
    <x v="0"/>
    <s v="One-on-One"/>
    <n v="2"/>
    <n v="2"/>
    <s v="85-89%"/>
    <n v="0"/>
  </r>
  <r>
    <s v="S028"/>
    <x v="1"/>
    <x v="0"/>
    <s v="Small Group"/>
    <n v="4"/>
    <n v="6"/>
    <s v="95-99%"/>
    <n v="2"/>
  </r>
  <r>
    <s v="S029"/>
    <x v="1"/>
    <x v="1"/>
    <s v="None"/>
    <n v="6"/>
    <n v="7"/>
    <s v="90-94%"/>
    <n v="1"/>
  </r>
  <r>
    <s v="S030"/>
    <x v="1"/>
    <x v="1"/>
    <s v="None"/>
    <n v="7"/>
    <n v="8"/>
    <s v="90-94%"/>
    <n v="1"/>
  </r>
  <r>
    <s v="S031"/>
    <x v="2"/>
    <x v="1"/>
    <s v="None"/>
    <n v="6"/>
    <n v="7"/>
    <s v="95-99%"/>
    <n v="1"/>
  </r>
  <r>
    <s v="S032"/>
    <x v="2"/>
    <x v="1"/>
    <s v="None"/>
    <n v="9"/>
    <n v="9"/>
    <s v="95-99%"/>
    <n v="0"/>
  </r>
  <r>
    <s v="S033"/>
    <x v="2"/>
    <x v="0"/>
    <s v="Small Group"/>
    <n v="5"/>
    <n v="6"/>
    <s v="95-99%"/>
    <n v="1"/>
  </r>
  <r>
    <s v="S034"/>
    <x v="2"/>
    <x v="1"/>
    <s v="None"/>
    <n v="8"/>
    <n v="9"/>
    <s v="90-94%"/>
    <n v="1"/>
  </r>
  <r>
    <s v="S035"/>
    <x v="2"/>
    <x v="1"/>
    <s v="None"/>
    <n v="8"/>
    <n v="9"/>
    <s v="95-99%"/>
    <n v="1"/>
  </r>
  <r>
    <s v="S036"/>
    <x v="2"/>
    <x v="0"/>
    <s v="Small Group"/>
    <n v="4"/>
    <n v="6"/>
    <s v="95-99%"/>
    <n v="2"/>
  </r>
  <r>
    <s v="S037"/>
    <x v="2"/>
    <x v="1"/>
    <s v="None"/>
    <n v="8"/>
    <n v="9"/>
    <s v="90-94%"/>
    <n v="1"/>
  </r>
  <r>
    <s v="S038"/>
    <x v="2"/>
    <x v="1"/>
    <s v="None"/>
    <n v="9"/>
    <n v="9"/>
    <s v="85-89%"/>
    <n v="0"/>
  </r>
  <r>
    <s v="S039"/>
    <x v="2"/>
    <x v="1"/>
    <s v="None"/>
    <n v="9"/>
    <n v="10"/>
    <s v="95-99%"/>
    <n v="1"/>
  </r>
  <r>
    <s v="S040"/>
    <x v="2"/>
    <x v="0"/>
    <s v="Small Group"/>
    <n v="5"/>
    <n v="7"/>
    <s v="95-99%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35143-5585-DD4F-8A9D-B4A90999481C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B32" firstHeaderRow="1" firstDataRow="1" firstDataCol="1"/>
  <pivotFields count="8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Average of reading_growth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94C78-756A-D14A-B265-8B2FB4BB70F1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ntervention">
  <location ref="A7:B10" firstHeaderRow="1" firstDataRow="1" firstDataCol="1"/>
  <pivotFields count="8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ading_growth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2698-B8CD-C745-B800-C280E645F267}">
  <dimension ref="A1:N43"/>
  <sheetViews>
    <sheetView tabSelected="1" workbookViewId="0">
      <selection activeCell="D6" sqref="D6"/>
    </sheetView>
  </sheetViews>
  <sheetFormatPr baseColWidth="10" defaultRowHeight="16" x14ac:dyDescent="0.2"/>
  <cols>
    <col min="1" max="1" width="9.6640625" bestFit="1" customWidth="1"/>
    <col min="2" max="2" width="10.33203125" bestFit="1" customWidth="1"/>
    <col min="3" max="3" width="11" bestFit="1" customWidth="1"/>
    <col min="4" max="4" width="15.33203125" bestFit="1" customWidth="1"/>
    <col min="5" max="5" width="15.1640625" bestFit="1" customWidth="1"/>
    <col min="6" max="6" width="17.6640625" bestFit="1" customWidth="1"/>
    <col min="7" max="7" width="14.6640625" style="6" bestFit="1" customWidth="1"/>
    <col min="8" max="8" width="13.83203125" style="7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10" t="s">
        <v>52</v>
      </c>
    </row>
    <row r="2" spans="1:14" x14ac:dyDescent="0.2">
      <c r="A2" t="s">
        <v>7</v>
      </c>
      <c r="B2">
        <v>1</v>
      </c>
      <c r="C2" t="s">
        <v>47</v>
      </c>
      <c r="D2" s="2" t="s">
        <v>48</v>
      </c>
      <c r="E2">
        <v>2</v>
      </c>
      <c r="F2">
        <v>4</v>
      </c>
      <c r="G2" s="6">
        <v>0.98</v>
      </c>
      <c r="H2" s="7">
        <f>F2-E2</f>
        <v>2</v>
      </c>
    </row>
    <row r="3" spans="1:14" x14ac:dyDescent="0.2">
      <c r="A3" t="s">
        <v>8</v>
      </c>
      <c r="B3">
        <v>1</v>
      </c>
      <c r="C3" t="s">
        <v>47</v>
      </c>
      <c r="D3" t="s">
        <v>48</v>
      </c>
      <c r="E3">
        <v>2</v>
      </c>
      <c r="F3">
        <v>4</v>
      </c>
      <c r="G3" s="6">
        <v>0.96</v>
      </c>
      <c r="H3" s="7">
        <f t="shared" ref="H3:H41" si="0">F3-E3</f>
        <v>2</v>
      </c>
    </row>
    <row r="4" spans="1:14" x14ac:dyDescent="0.2">
      <c r="A4" t="s">
        <v>9</v>
      </c>
      <c r="B4">
        <v>1</v>
      </c>
      <c r="C4" t="s">
        <v>47</v>
      </c>
      <c r="D4" t="s">
        <v>50</v>
      </c>
      <c r="E4">
        <v>1</v>
      </c>
      <c r="F4">
        <v>2</v>
      </c>
      <c r="G4" s="6">
        <v>0.98</v>
      </c>
      <c r="H4" s="7">
        <f t="shared" si="0"/>
        <v>1</v>
      </c>
    </row>
    <row r="5" spans="1:14" x14ac:dyDescent="0.2">
      <c r="A5" t="s">
        <v>10</v>
      </c>
      <c r="B5">
        <v>1</v>
      </c>
      <c r="C5" t="s">
        <v>47</v>
      </c>
      <c r="D5" t="s">
        <v>48</v>
      </c>
      <c r="E5">
        <v>2</v>
      </c>
      <c r="F5">
        <v>4</v>
      </c>
      <c r="G5" s="6">
        <v>0.96</v>
      </c>
      <c r="H5" s="7">
        <f t="shared" si="0"/>
        <v>2</v>
      </c>
    </row>
    <row r="6" spans="1:14" x14ac:dyDescent="0.2">
      <c r="A6" t="s">
        <v>11</v>
      </c>
      <c r="B6">
        <v>1</v>
      </c>
      <c r="C6" t="s">
        <v>51</v>
      </c>
      <c r="D6" t="s">
        <v>49</v>
      </c>
      <c r="E6">
        <v>5</v>
      </c>
      <c r="F6">
        <v>6</v>
      </c>
      <c r="G6" s="6">
        <v>0.95</v>
      </c>
      <c r="H6" s="7">
        <f t="shared" si="0"/>
        <v>1</v>
      </c>
    </row>
    <row r="7" spans="1:14" x14ac:dyDescent="0.2">
      <c r="A7" t="s">
        <v>12</v>
      </c>
      <c r="B7">
        <v>1</v>
      </c>
      <c r="C7" t="s">
        <v>47</v>
      </c>
      <c r="D7" t="s">
        <v>48</v>
      </c>
      <c r="E7">
        <v>2</v>
      </c>
      <c r="F7">
        <v>3</v>
      </c>
      <c r="G7" s="6">
        <v>0.98</v>
      </c>
      <c r="H7" s="7">
        <f t="shared" si="0"/>
        <v>1</v>
      </c>
    </row>
    <row r="8" spans="1:14" x14ac:dyDescent="0.2">
      <c r="A8" t="s">
        <v>13</v>
      </c>
      <c r="B8">
        <v>1</v>
      </c>
      <c r="C8" t="s">
        <v>51</v>
      </c>
      <c r="D8" t="s">
        <v>49</v>
      </c>
      <c r="E8">
        <v>5</v>
      </c>
      <c r="F8">
        <v>6</v>
      </c>
      <c r="G8" s="6">
        <v>0.98</v>
      </c>
      <c r="H8" s="7">
        <f t="shared" si="0"/>
        <v>1</v>
      </c>
    </row>
    <row r="9" spans="1:14" x14ac:dyDescent="0.2">
      <c r="A9" t="s">
        <v>14</v>
      </c>
      <c r="B9">
        <v>1</v>
      </c>
      <c r="C9" t="s">
        <v>47</v>
      </c>
      <c r="D9" t="s">
        <v>50</v>
      </c>
      <c r="E9">
        <v>1</v>
      </c>
      <c r="F9">
        <v>3</v>
      </c>
      <c r="G9" s="6">
        <v>0.98</v>
      </c>
      <c r="H9" s="7">
        <f t="shared" si="0"/>
        <v>2</v>
      </c>
    </row>
    <row r="10" spans="1:14" x14ac:dyDescent="0.2">
      <c r="A10" t="s">
        <v>15</v>
      </c>
      <c r="B10">
        <v>1</v>
      </c>
      <c r="C10" t="s">
        <v>51</v>
      </c>
      <c r="D10" t="s">
        <v>49</v>
      </c>
      <c r="E10">
        <v>3</v>
      </c>
      <c r="F10">
        <v>5</v>
      </c>
      <c r="G10" s="6">
        <v>0.96</v>
      </c>
      <c r="H10" s="7">
        <f t="shared" si="0"/>
        <v>2</v>
      </c>
    </row>
    <row r="11" spans="1:14" x14ac:dyDescent="0.2">
      <c r="A11" t="s">
        <v>16</v>
      </c>
      <c r="B11">
        <v>1</v>
      </c>
      <c r="C11" t="s">
        <v>47</v>
      </c>
      <c r="D11" t="s">
        <v>48</v>
      </c>
      <c r="E11">
        <v>3</v>
      </c>
      <c r="F11">
        <v>4</v>
      </c>
      <c r="G11" s="6">
        <v>0.97</v>
      </c>
      <c r="H11" s="7">
        <f t="shared" si="0"/>
        <v>1</v>
      </c>
    </row>
    <row r="12" spans="1:14" x14ac:dyDescent="0.2">
      <c r="A12" t="s">
        <v>17</v>
      </c>
      <c r="B12">
        <v>1</v>
      </c>
      <c r="C12" t="s">
        <v>47</v>
      </c>
      <c r="D12" t="s">
        <v>48</v>
      </c>
      <c r="E12">
        <v>2</v>
      </c>
      <c r="F12">
        <v>3</v>
      </c>
      <c r="G12" s="6">
        <v>0.98</v>
      </c>
      <c r="H12" s="7">
        <f t="shared" si="0"/>
        <v>1</v>
      </c>
      <c r="J12" s="1"/>
      <c r="L12" s="1"/>
      <c r="N12" s="1"/>
    </row>
    <row r="13" spans="1:14" x14ac:dyDescent="0.2">
      <c r="A13" t="s">
        <v>18</v>
      </c>
      <c r="B13">
        <v>1</v>
      </c>
      <c r="C13" t="s">
        <v>51</v>
      </c>
      <c r="D13" t="s">
        <v>49</v>
      </c>
      <c r="E13">
        <v>5</v>
      </c>
      <c r="F13">
        <v>7</v>
      </c>
      <c r="G13" s="6">
        <v>0.96</v>
      </c>
      <c r="H13" s="7">
        <f t="shared" si="0"/>
        <v>2</v>
      </c>
      <c r="N13" s="8"/>
    </row>
    <row r="14" spans="1:14" x14ac:dyDescent="0.2">
      <c r="A14" t="s">
        <v>19</v>
      </c>
      <c r="B14">
        <v>1</v>
      </c>
      <c r="C14" t="s">
        <v>47</v>
      </c>
      <c r="D14" t="s">
        <v>50</v>
      </c>
      <c r="E14">
        <v>1</v>
      </c>
      <c r="F14">
        <v>3</v>
      </c>
      <c r="G14" s="6">
        <v>0.98</v>
      </c>
      <c r="H14" s="7">
        <f t="shared" si="0"/>
        <v>2</v>
      </c>
      <c r="N14" s="8"/>
    </row>
    <row r="15" spans="1:14" x14ac:dyDescent="0.2">
      <c r="A15" t="s">
        <v>20</v>
      </c>
      <c r="B15">
        <v>1</v>
      </c>
      <c r="C15" t="s">
        <v>51</v>
      </c>
      <c r="D15" t="s">
        <v>49</v>
      </c>
      <c r="E15">
        <v>5</v>
      </c>
      <c r="F15">
        <v>6</v>
      </c>
      <c r="G15" s="6">
        <v>0.96</v>
      </c>
      <c r="H15" s="7">
        <f t="shared" si="0"/>
        <v>1</v>
      </c>
      <c r="N15" s="8"/>
    </row>
    <row r="16" spans="1:14" x14ac:dyDescent="0.2">
      <c r="A16" t="s">
        <v>21</v>
      </c>
      <c r="B16">
        <v>1</v>
      </c>
      <c r="C16" t="s">
        <v>47</v>
      </c>
      <c r="D16" t="s">
        <v>48</v>
      </c>
      <c r="E16">
        <v>3</v>
      </c>
      <c r="F16">
        <v>5</v>
      </c>
      <c r="G16" s="6">
        <v>0.97</v>
      </c>
      <c r="H16" s="7">
        <f t="shared" si="0"/>
        <v>2</v>
      </c>
    </row>
    <row r="17" spans="1:10" x14ac:dyDescent="0.2">
      <c r="A17" t="s">
        <v>22</v>
      </c>
      <c r="B17">
        <v>2</v>
      </c>
      <c r="C17" t="s">
        <v>47</v>
      </c>
      <c r="D17" t="s">
        <v>48</v>
      </c>
      <c r="E17">
        <v>3</v>
      </c>
      <c r="F17">
        <v>5</v>
      </c>
      <c r="G17" s="6">
        <v>0.96</v>
      </c>
      <c r="H17" s="7">
        <f t="shared" si="0"/>
        <v>2</v>
      </c>
    </row>
    <row r="18" spans="1:10" x14ac:dyDescent="0.2">
      <c r="A18" t="s">
        <v>23</v>
      </c>
      <c r="B18">
        <v>2</v>
      </c>
      <c r="C18" t="s">
        <v>51</v>
      </c>
      <c r="D18" t="s">
        <v>49</v>
      </c>
      <c r="E18">
        <v>6</v>
      </c>
      <c r="F18">
        <v>6</v>
      </c>
      <c r="G18" s="6">
        <v>0.95</v>
      </c>
      <c r="H18" s="7">
        <f t="shared" si="0"/>
        <v>0</v>
      </c>
    </row>
    <row r="19" spans="1:10" x14ac:dyDescent="0.2">
      <c r="A19" t="s">
        <v>24</v>
      </c>
      <c r="B19">
        <v>2</v>
      </c>
      <c r="C19" t="s">
        <v>51</v>
      </c>
      <c r="D19" t="s">
        <v>49</v>
      </c>
      <c r="E19">
        <v>7</v>
      </c>
      <c r="F19">
        <v>8</v>
      </c>
      <c r="G19" s="6">
        <v>0.98</v>
      </c>
      <c r="H19" s="7">
        <f t="shared" si="0"/>
        <v>1</v>
      </c>
    </row>
    <row r="20" spans="1:10" x14ac:dyDescent="0.2">
      <c r="A20" t="s">
        <v>25</v>
      </c>
      <c r="B20">
        <v>2</v>
      </c>
      <c r="C20" t="s">
        <v>47</v>
      </c>
      <c r="D20" t="s">
        <v>48</v>
      </c>
      <c r="E20">
        <v>3</v>
      </c>
      <c r="F20">
        <v>4</v>
      </c>
      <c r="G20" s="6">
        <v>0.97</v>
      </c>
      <c r="H20" s="7">
        <f t="shared" si="0"/>
        <v>1</v>
      </c>
    </row>
    <row r="21" spans="1:10" x14ac:dyDescent="0.2">
      <c r="A21" t="s">
        <v>26</v>
      </c>
      <c r="B21">
        <v>2</v>
      </c>
      <c r="C21" t="s">
        <v>47</v>
      </c>
      <c r="D21" t="s">
        <v>48</v>
      </c>
      <c r="E21">
        <v>3</v>
      </c>
      <c r="F21">
        <v>5</v>
      </c>
      <c r="G21" s="6">
        <v>0.96</v>
      </c>
      <c r="H21" s="7">
        <f t="shared" si="0"/>
        <v>2</v>
      </c>
    </row>
    <row r="22" spans="1:10" x14ac:dyDescent="0.2">
      <c r="A22" t="s">
        <v>27</v>
      </c>
      <c r="B22">
        <v>2</v>
      </c>
      <c r="C22" t="s">
        <v>51</v>
      </c>
      <c r="D22" t="s">
        <v>49</v>
      </c>
      <c r="E22">
        <v>7</v>
      </c>
      <c r="F22">
        <v>8</v>
      </c>
      <c r="G22" s="6">
        <v>0.98</v>
      </c>
      <c r="H22" s="7">
        <f t="shared" si="0"/>
        <v>1</v>
      </c>
      <c r="J22" s="1"/>
    </row>
    <row r="23" spans="1:10" x14ac:dyDescent="0.2">
      <c r="A23" t="s">
        <v>28</v>
      </c>
      <c r="B23">
        <v>2</v>
      </c>
      <c r="C23" t="s">
        <v>47</v>
      </c>
      <c r="D23" t="s">
        <v>50</v>
      </c>
      <c r="E23">
        <v>2</v>
      </c>
      <c r="F23">
        <v>4</v>
      </c>
      <c r="G23" s="6">
        <v>0.97</v>
      </c>
      <c r="H23" s="7">
        <f t="shared" si="0"/>
        <v>2</v>
      </c>
    </row>
    <row r="24" spans="1:10" x14ac:dyDescent="0.2">
      <c r="A24" t="s">
        <v>29</v>
      </c>
      <c r="B24">
        <v>2</v>
      </c>
      <c r="C24" t="s">
        <v>51</v>
      </c>
      <c r="D24" t="s">
        <v>49</v>
      </c>
      <c r="E24">
        <v>8</v>
      </c>
      <c r="F24">
        <v>9</v>
      </c>
      <c r="G24" s="6">
        <v>1</v>
      </c>
      <c r="H24" s="7">
        <f t="shared" si="0"/>
        <v>1</v>
      </c>
    </row>
    <row r="25" spans="1:10" x14ac:dyDescent="0.2">
      <c r="A25" t="s">
        <v>30</v>
      </c>
      <c r="B25">
        <v>2</v>
      </c>
      <c r="C25" t="s">
        <v>47</v>
      </c>
      <c r="D25" t="s">
        <v>48</v>
      </c>
      <c r="E25">
        <v>2</v>
      </c>
      <c r="F25">
        <v>4</v>
      </c>
      <c r="G25" s="6">
        <v>1</v>
      </c>
      <c r="H25" s="7">
        <f t="shared" si="0"/>
        <v>2</v>
      </c>
    </row>
    <row r="26" spans="1:10" x14ac:dyDescent="0.2">
      <c r="A26" t="s">
        <v>31</v>
      </c>
      <c r="B26">
        <v>2</v>
      </c>
      <c r="C26" t="s">
        <v>51</v>
      </c>
      <c r="D26" t="s">
        <v>49</v>
      </c>
      <c r="E26">
        <v>7</v>
      </c>
      <c r="F26">
        <v>8</v>
      </c>
      <c r="G26" s="6">
        <v>0.97</v>
      </c>
      <c r="H26" s="7">
        <f t="shared" si="0"/>
        <v>1</v>
      </c>
    </row>
    <row r="27" spans="1:10" x14ac:dyDescent="0.2">
      <c r="A27" t="s">
        <v>32</v>
      </c>
      <c r="B27">
        <v>2</v>
      </c>
      <c r="C27" t="s">
        <v>47</v>
      </c>
      <c r="D27" t="s">
        <v>48</v>
      </c>
      <c r="E27">
        <v>4</v>
      </c>
      <c r="F27">
        <v>6</v>
      </c>
      <c r="G27" s="6">
        <v>0.96</v>
      </c>
      <c r="H27" s="7">
        <f t="shared" si="0"/>
        <v>2</v>
      </c>
    </row>
    <row r="28" spans="1:10" x14ac:dyDescent="0.2">
      <c r="A28" t="s">
        <v>33</v>
      </c>
      <c r="B28">
        <v>2</v>
      </c>
      <c r="C28" t="s">
        <v>47</v>
      </c>
      <c r="D28" t="s">
        <v>50</v>
      </c>
      <c r="E28">
        <v>2</v>
      </c>
      <c r="F28">
        <v>2</v>
      </c>
      <c r="G28" s="6">
        <v>0.88</v>
      </c>
      <c r="H28" s="7">
        <f t="shared" si="0"/>
        <v>0</v>
      </c>
    </row>
    <row r="29" spans="1:10" x14ac:dyDescent="0.2">
      <c r="A29" t="s">
        <v>34</v>
      </c>
      <c r="B29">
        <v>2</v>
      </c>
      <c r="C29" t="s">
        <v>47</v>
      </c>
      <c r="D29" t="s">
        <v>48</v>
      </c>
      <c r="E29">
        <v>4</v>
      </c>
      <c r="F29">
        <v>6</v>
      </c>
      <c r="G29" s="6">
        <v>0.98</v>
      </c>
      <c r="H29" s="7">
        <f t="shared" si="0"/>
        <v>2</v>
      </c>
    </row>
    <row r="30" spans="1:10" x14ac:dyDescent="0.2">
      <c r="A30" t="s">
        <v>35</v>
      </c>
      <c r="B30">
        <v>2</v>
      </c>
      <c r="C30" t="s">
        <v>51</v>
      </c>
      <c r="D30" t="s">
        <v>49</v>
      </c>
      <c r="E30">
        <v>6</v>
      </c>
      <c r="F30">
        <v>7</v>
      </c>
      <c r="G30" s="6">
        <v>0.98</v>
      </c>
      <c r="H30" s="7">
        <f t="shared" si="0"/>
        <v>1</v>
      </c>
    </row>
    <row r="31" spans="1:10" x14ac:dyDescent="0.2">
      <c r="A31" t="s">
        <v>36</v>
      </c>
      <c r="B31">
        <v>2</v>
      </c>
      <c r="C31" t="s">
        <v>51</v>
      </c>
      <c r="D31" t="s">
        <v>49</v>
      </c>
      <c r="E31">
        <v>7</v>
      </c>
      <c r="F31">
        <v>8</v>
      </c>
      <c r="G31" s="6">
        <v>0.98</v>
      </c>
      <c r="H31" s="7">
        <f t="shared" si="0"/>
        <v>1</v>
      </c>
    </row>
    <row r="32" spans="1:10" x14ac:dyDescent="0.2">
      <c r="A32" t="s">
        <v>37</v>
      </c>
      <c r="B32">
        <v>3</v>
      </c>
      <c r="C32" t="s">
        <v>51</v>
      </c>
      <c r="D32" t="s">
        <v>49</v>
      </c>
      <c r="E32">
        <v>6</v>
      </c>
      <c r="F32">
        <v>7</v>
      </c>
      <c r="G32" s="6">
        <v>0.99</v>
      </c>
      <c r="H32" s="7">
        <f t="shared" si="0"/>
        <v>1</v>
      </c>
    </row>
    <row r="33" spans="1:8" x14ac:dyDescent="0.2">
      <c r="A33" t="s">
        <v>38</v>
      </c>
      <c r="B33">
        <v>3</v>
      </c>
      <c r="C33" t="s">
        <v>51</v>
      </c>
      <c r="D33" t="s">
        <v>49</v>
      </c>
      <c r="E33">
        <v>9</v>
      </c>
      <c r="F33">
        <v>9</v>
      </c>
      <c r="G33" s="6">
        <v>0.98</v>
      </c>
      <c r="H33" s="7">
        <f t="shared" si="0"/>
        <v>0</v>
      </c>
    </row>
    <row r="34" spans="1:8" x14ac:dyDescent="0.2">
      <c r="A34" t="s">
        <v>39</v>
      </c>
      <c r="B34">
        <v>3</v>
      </c>
      <c r="C34" t="s">
        <v>47</v>
      </c>
      <c r="D34" t="s">
        <v>48</v>
      </c>
      <c r="E34">
        <v>5</v>
      </c>
      <c r="F34">
        <v>6</v>
      </c>
      <c r="G34" s="6">
        <v>0.89</v>
      </c>
      <c r="H34" s="7">
        <f t="shared" si="0"/>
        <v>1</v>
      </c>
    </row>
    <row r="35" spans="1:8" x14ac:dyDescent="0.2">
      <c r="A35" t="s">
        <v>40</v>
      </c>
      <c r="B35">
        <v>3</v>
      </c>
      <c r="C35" t="s">
        <v>51</v>
      </c>
      <c r="D35" t="s">
        <v>49</v>
      </c>
      <c r="E35">
        <v>8</v>
      </c>
      <c r="F35">
        <v>9</v>
      </c>
      <c r="G35" s="6">
        <v>0.98</v>
      </c>
      <c r="H35" s="7">
        <f t="shared" si="0"/>
        <v>1</v>
      </c>
    </row>
    <row r="36" spans="1:8" x14ac:dyDescent="0.2">
      <c r="A36" t="s">
        <v>41</v>
      </c>
      <c r="B36">
        <v>3</v>
      </c>
      <c r="C36" t="s">
        <v>51</v>
      </c>
      <c r="D36" t="s">
        <v>49</v>
      </c>
      <c r="E36">
        <v>8</v>
      </c>
      <c r="F36">
        <v>9</v>
      </c>
      <c r="G36" s="6">
        <v>0.96</v>
      </c>
      <c r="H36" s="7">
        <f t="shared" si="0"/>
        <v>1</v>
      </c>
    </row>
    <row r="37" spans="1:8" x14ac:dyDescent="0.2">
      <c r="A37" t="s">
        <v>42</v>
      </c>
      <c r="B37">
        <v>3</v>
      </c>
      <c r="C37" t="s">
        <v>47</v>
      </c>
      <c r="D37" t="s">
        <v>48</v>
      </c>
      <c r="E37">
        <v>4</v>
      </c>
      <c r="F37">
        <v>6</v>
      </c>
      <c r="G37" s="6">
        <v>0.95</v>
      </c>
      <c r="H37" s="7">
        <f t="shared" si="0"/>
        <v>2</v>
      </c>
    </row>
    <row r="38" spans="1:8" x14ac:dyDescent="0.2">
      <c r="A38" t="s">
        <v>43</v>
      </c>
      <c r="B38">
        <v>3</v>
      </c>
      <c r="C38" t="s">
        <v>51</v>
      </c>
      <c r="D38" t="s">
        <v>49</v>
      </c>
      <c r="E38">
        <v>8</v>
      </c>
      <c r="F38">
        <v>9</v>
      </c>
      <c r="G38" s="6">
        <v>0.94</v>
      </c>
      <c r="H38" s="7">
        <f t="shared" si="0"/>
        <v>1</v>
      </c>
    </row>
    <row r="39" spans="1:8" x14ac:dyDescent="0.2">
      <c r="A39" t="s">
        <v>44</v>
      </c>
      <c r="B39">
        <v>3</v>
      </c>
      <c r="C39" t="s">
        <v>51</v>
      </c>
      <c r="D39" t="s">
        <v>49</v>
      </c>
      <c r="E39">
        <v>9</v>
      </c>
      <c r="F39">
        <v>9</v>
      </c>
      <c r="G39" s="6">
        <v>0.96</v>
      </c>
      <c r="H39" s="7">
        <f t="shared" si="0"/>
        <v>0</v>
      </c>
    </row>
    <row r="40" spans="1:8" x14ac:dyDescent="0.2">
      <c r="A40" t="s">
        <v>45</v>
      </c>
      <c r="B40">
        <v>3</v>
      </c>
      <c r="C40" t="s">
        <v>51</v>
      </c>
      <c r="D40" t="s">
        <v>49</v>
      </c>
      <c r="E40">
        <v>9</v>
      </c>
      <c r="F40">
        <v>10</v>
      </c>
      <c r="G40" s="6">
        <v>0.94</v>
      </c>
      <c r="H40" s="7">
        <f t="shared" si="0"/>
        <v>1</v>
      </c>
    </row>
    <row r="41" spans="1:8" x14ac:dyDescent="0.2">
      <c r="A41" t="s">
        <v>46</v>
      </c>
      <c r="B41">
        <v>3</v>
      </c>
      <c r="C41" t="s">
        <v>47</v>
      </c>
      <c r="D41" t="s">
        <v>48</v>
      </c>
      <c r="E41">
        <v>5</v>
      </c>
      <c r="F41">
        <v>7</v>
      </c>
      <c r="G41" s="6">
        <v>0.96</v>
      </c>
      <c r="H41" s="7">
        <f t="shared" si="0"/>
        <v>2</v>
      </c>
    </row>
    <row r="43" spans="1:8" x14ac:dyDescent="0.2">
      <c r="D43" t="str">
        <f>IF(C6="No","None",D6)</f>
        <v>None</v>
      </c>
    </row>
  </sheetData>
  <phoneticPr fontId="3" type="noConversion"/>
  <conditionalFormatting sqref="C1:C1048576">
    <cfRule type="colorScale" priority="9">
      <colorScale>
        <cfvo type="formula" val="&quot;Yes&quot;"/>
        <cfvo type="formula" val="&quot;No&quot;"/>
        <color rgb="FFFF7128"/>
        <color theme="9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1">
    <cfRule type="containsText" dxfId="6" priority="7" operator="containsText" text="No">
      <formula>NOT(ISERROR(SEARCH("No",C2)))</formula>
    </cfRule>
    <cfRule type="containsText" dxfId="5" priority="8" operator="containsText" text="Yes">
      <formula>NOT(ISERROR(SEARCH("Yes",C2)))</formula>
    </cfRule>
  </conditionalFormatting>
  <conditionalFormatting sqref="G2:G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4">
    <dataValidation type="list" allowBlank="1" showInputMessage="1" showErrorMessage="1" sqref="C2:C41" xr:uid="{D28E9F88-2E42-EC43-93C2-ECA31D25B306}">
      <formula1>$J$23:$J$24</formula1>
    </dataValidation>
    <dataValidation type="custom" allowBlank="1" showInputMessage="1" showErrorMessage="1" sqref="D1 D42:D1048576" xr:uid="{8AB1D63D-EB22-CE4A-BCAF-9D09BB84F6D0}">
      <formula1>OR(   AND($C1="No",$D1="None"),   AND($C1="Yes",OR($D1="Small Group",$D1="1:1")) )</formula1>
    </dataValidation>
    <dataValidation type="list" showInputMessage="1" showErrorMessage="1" sqref="D2:D41" xr:uid="{BA8C8F23-A654-A248-8021-F5260EB7AA31}">
      <formula1>$J$13:$J$15</formula1>
    </dataValidation>
    <dataValidation type="list" allowBlank="1" showInputMessage="1" showErrorMessage="1" sqref="E2:E4 E6:E22 E24:E41 F2:F41" xr:uid="{1DF0D75A-95B4-7549-ABE2-556311EDBA87}">
      <formula1>"1, 2, 3, 4, 5, 6, 7, 8, 9, 10"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16F5-41D4-804C-AE1A-931BE245A094}">
  <dimension ref="A7:C50"/>
  <sheetViews>
    <sheetView workbookViewId="0">
      <selection activeCell="A38" sqref="A38:C50"/>
    </sheetView>
  </sheetViews>
  <sheetFormatPr baseColWidth="10" defaultRowHeight="16" x14ac:dyDescent="0.2"/>
  <cols>
    <col min="1" max="1" width="13" bestFit="1" customWidth="1"/>
    <col min="2" max="2" width="23.1640625" bestFit="1" customWidth="1"/>
    <col min="3" max="3" width="18.5" bestFit="1" customWidth="1"/>
  </cols>
  <sheetData>
    <row r="7" spans="1:2" x14ac:dyDescent="0.2">
      <c r="A7" s="3" t="s">
        <v>55</v>
      </c>
      <c r="B7" t="s">
        <v>56</v>
      </c>
    </row>
    <row r="8" spans="1:2" x14ac:dyDescent="0.2">
      <c r="A8" s="4" t="s">
        <v>51</v>
      </c>
      <c r="B8" s="2">
        <v>0.94736842105263153</v>
      </c>
    </row>
    <row r="9" spans="1:2" x14ac:dyDescent="0.2">
      <c r="A9" s="4" t="s">
        <v>47</v>
      </c>
      <c r="B9" s="2">
        <v>1.6190476190476191</v>
      </c>
    </row>
    <row r="10" spans="1:2" x14ac:dyDescent="0.2">
      <c r="A10" s="4" t="s">
        <v>54</v>
      </c>
      <c r="B10" s="2">
        <v>1.3</v>
      </c>
    </row>
    <row r="22" spans="1:2" x14ac:dyDescent="0.2">
      <c r="A22" s="3" t="s">
        <v>53</v>
      </c>
      <c r="B22" t="s">
        <v>56</v>
      </c>
    </row>
    <row r="23" spans="1:2" x14ac:dyDescent="0.2">
      <c r="A23" s="4">
        <v>1</v>
      </c>
      <c r="B23" s="2">
        <v>1.5333333333333334</v>
      </c>
    </row>
    <row r="24" spans="1:2" x14ac:dyDescent="0.2">
      <c r="A24" s="5" t="s">
        <v>51</v>
      </c>
      <c r="B24" s="2">
        <v>1.4</v>
      </c>
    </row>
    <row r="25" spans="1:2" x14ac:dyDescent="0.2">
      <c r="A25" s="5" t="s">
        <v>47</v>
      </c>
      <c r="B25" s="2">
        <v>1.6</v>
      </c>
    </row>
    <row r="26" spans="1:2" x14ac:dyDescent="0.2">
      <c r="A26" s="4">
        <v>2</v>
      </c>
      <c r="B26" s="2">
        <v>1.2666666666666666</v>
      </c>
    </row>
    <row r="27" spans="1:2" x14ac:dyDescent="0.2">
      <c r="A27" s="5" t="s">
        <v>51</v>
      </c>
      <c r="B27" s="2">
        <v>0.8571428571428571</v>
      </c>
    </row>
    <row r="28" spans="1:2" x14ac:dyDescent="0.2">
      <c r="A28" s="5" t="s">
        <v>47</v>
      </c>
      <c r="B28" s="2">
        <v>1.625</v>
      </c>
    </row>
    <row r="29" spans="1:2" x14ac:dyDescent="0.2">
      <c r="A29" s="4">
        <v>3</v>
      </c>
      <c r="B29" s="2">
        <v>1</v>
      </c>
    </row>
    <row r="30" spans="1:2" x14ac:dyDescent="0.2">
      <c r="A30" s="5" t="s">
        <v>51</v>
      </c>
      <c r="B30" s="2">
        <v>0.7142857142857143</v>
      </c>
    </row>
    <row r="31" spans="1:2" x14ac:dyDescent="0.2">
      <c r="A31" s="5" t="s">
        <v>47</v>
      </c>
      <c r="B31" s="2">
        <v>1.6666666666666667</v>
      </c>
    </row>
    <row r="32" spans="1:2" x14ac:dyDescent="0.2">
      <c r="A32" s="4" t="s">
        <v>54</v>
      </c>
      <c r="B32" s="2">
        <v>1.3</v>
      </c>
    </row>
    <row r="38" spans="1:3" x14ac:dyDescent="0.2">
      <c r="A38" s="11"/>
      <c r="B38" s="11"/>
      <c r="C38" s="11"/>
    </row>
    <row r="39" spans="1:3" x14ac:dyDescent="0.2">
      <c r="A39" s="11"/>
      <c r="B39" s="11"/>
      <c r="C39" s="11"/>
    </row>
    <row r="40" spans="1:3" x14ac:dyDescent="0.2">
      <c r="A40" s="11"/>
      <c r="B40" s="11"/>
      <c r="C40" s="11"/>
    </row>
    <row r="41" spans="1:3" x14ac:dyDescent="0.2">
      <c r="A41" s="11"/>
      <c r="B41" s="11"/>
      <c r="C41" s="11"/>
    </row>
    <row r="42" spans="1:3" x14ac:dyDescent="0.2">
      <c r="A42" s="11"/>
      <c r="B42" s="11"/>
      <c r="C42" s="11"/>
    </row>
    <row r="43" spans="1:3" x14ac:dyDescent="0.2">
      <c r="A43" s="11"/>
      <c r="B43" s="11"/>
      <c r="C43" s="11"/>
    </row>
    <row r="44" spans="1:3" x14ac:dyDescent="0.2">
      <c r="A44" s="11"/>
      <c r="B44" s="11"/>
      <c r="C44" s="11"/>
    </row>
    <row r="45" spans="1:3" x14ac:dyDescent="0.2">
      <c r="A45" s="11"/>
      <c r="B45" s="11"/>
      <c r="C45" s="11"/>
    </row>
    <row r="46" spans="1:3" x14ac:dyDescent="0.2">
      <c r="A46" s="11"/>
      <c r="B46" s="11"/>
      <c r="C46" s="11"/>
    </row>
    <row r="47" spans="1:3" x14ac:dyDescent="0.2">
      <c r="A47" s="11"/>
      <c r="B47" s="11"/>
      <c r="C47" s="11"/>
    </row>
    <row r="48" spans="1:3" x14ac:dyDescent="0.2">
      <c r="A48" s="11"/>
      <c r="B48" s="11"/>
      <c r="C48" s="11"/>
    </row>
    <row r="49" spans="1:3" x14ac:dyDescent="0.2">
      <c r="A49" s="11"/>
      <c r="B49" s="11"/>
      <c r="C49" s="11"/>
    </row>
    <row r="50" spans="1:3" x14ac:dyDescent="0.2">
      <c r="A50" s="11"/>
      <c r="B50" s="11"/>
      <c r="C50" s="11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Bernard</dc:creator>
  <cp:lastModifiedBy>Alyssa Bernard</cp:lastModifiedBy>
  <dcterms:created xsi:type="dcterms:W3CDTF">2026-02-02T15:28:39Z</dcterms:created>
  <dcterms:modified xsi:type="dcterms:W3CDTF">2026-02-02T19:09:28Z</dcterms:modified>
</cp:coreProperties>
</file>